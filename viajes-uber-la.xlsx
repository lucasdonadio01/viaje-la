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iajes" sheetId="2" state="visible" r:id="rId2"/>
  </sheets>
  <definedNames>
    <definedName name="_xlnm._FilterDatabase" localSheetId="1" hidden="1">'Viajes'!$A$1:$R$26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0.0"/>
    <numFmt numFmtId="168" formatCode="&quot;US$&quot; #,##0.00"/>
    <numFmt numFmtId="169" formatCode="ddd dd/mm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B26B00"/>
    </font>
    <font>
      <b val="1"/>
      <sz val="16"/>
    </font>
    <font>
      <i val="1"/>
      <color rgb="0066666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61616"/>
      </patternFill>
    </fill>
    <fill>
      <patternFill patternType="solid">
        <fgColor rgb="00FFF4CC"/>
      </patternFill>
    </fill>
    <fill>
      <patternFill patternType="solid">
        <fgColor rgb="007BE0A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5" fillId="0" borderId="0" pivotButton="0" quotePrefix="0" xfId="0"/>
    <xf numFmtId="9" fontId="2" fillId="3" borderId="0" pivotButton="0" quotePrefix="0" xfId="0"/>
    <xf numFmtId="168" fontId="2" fillId="3" borderId="0" pivotButton="0" quotePrefix="0" xfId="0"/>
    <xf numFmtId="0" fontId="1" fillId="2" borderId="0" pivotButton="0" quotePrefix="0" xfId="0"/>
    <xf numFmtId="169" fontId="0" fillId="0" borderId="1" pivotButton="0" quotePrefix="0" xfId="0"/>
    <xf numFmtId="0" fontId="0" fillId="0" borderId="1" pivotButton="0" quotePrefix="0" xfId="0"/>
    <xf numFmtId="168" fontId="0" fillId="0" borderId="1" pivotButton="0" quotePrefix="0" xfId="0"/>
    <xf numFmtId="169" fontId="5" fillId="0" borderId="1" pivotButton="0" quotePrefix="0" xfId="0"/>
    <xf numFmtId="0" fontId="5" fillId="0" borderId="1" pivotButton="0" quotePrefix="0" xfId="0"/>
    <xf numFmtId="168" fontId="5" fillId="0" borderId="1" pivotButton="0" quotePrefix="0" xfId="0"/>
    <xf numFmtId="0" fontId="6" fillId="4" borderId="0" pivotButton="0" quotePrefix="0" xfId="0"/>
    <xf numFmtId="168" fontId="6" fillId="4" borderId="0" pivotButton="0" quotePrefix="0" xfId="0"/>
    <xf numFmtId="168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1" pivotButton="0" quotePrefix="0" xfId="0"/>
    <xf numFmtId="166" fontId="2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7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6" customWidth="1" min="3" max="3"/>
    <col width="9" customWidth="1" min="4" max="4"/>
    <col width="14" customWidth="1" min="5" max="5"/>
    <col width="17" customWidth="1" min="6" max="6"/>
  </cols>
  <sheetData>
    <row r="2">
      <c r="B2" s="1" t="inlineStr">
        <is>
          <t>Uber · Viaje a Los Ángeles</t>
        </is>
      </c>
    </row>
    <row r="4">
      <c r="B4" t="inlineStr">
        <is>
          <t>Personas</t>
        </is>
      </c>
      <c r="C4" s="2" t="n">
        <v>5</v>
      </c>
      <c r="E4" s="3" t="inlineStr">
        <is>
          <t>Los valores en amarillo se pueden cambiar. En la hoja Viajes, cargá el precio real en la columna amarilla.</t>
        </is>
      </c>
    </row>
    <row r="5">
      <c r="B5" t="inlineStr">
        <is>
          <t>Colchón por tarifa dinámica</t>
        </is>
      </c>
      <c r="C5" s="4" t="n">
        <v>0.2</v>
      </c>
    </row>
    <row r="6">
      <c r="B6" t="inlineStr">
        <is>
          <t>Gasto por día libre</t>
        </is>
      </c>
      <c r="C6" s="5" t="n">
        <v>149</v>
      </c>
      <c r="E6" s="3" t="inlineStr">
        <is>
          <t>Día libre típico: 2 lugares = 3 Ubers de unos 10 km (≈ US$ 50 cada uno). Escribí otro monto para cambiarlo.</t>
        </is>
      </c>
    </row>
    <row r="8">
      <c r="A8" t="inlineStr"/>
      <c r="B8" s="6" t="inlineStr">
        <is>
          <t>Fecha</t>
        </is>
      </c>
      <c r="C8" s="6" t="inlineStr">
        <is>
          <t>Día</t>
        </is>
      </c>
      <c r="D8" s="6" t="inlineStr">
        <is>
          <t>Ubers</t>
        </is>
      </c>
      <c r="E8" s="6" t="inlineStr">
        <is>
          <t>Total USD</t>
        </is>
      </c>
      <c r="F8" s="6" t="inlineStr">
        <is>
          <t>Por persona USD</t>
        </is>
      </c>
    </row>
    <row r="9">
      <c r="A9" t="inlineStr"/>
      <c r="B9" s="7" t="n">
        <v>46318</v>
      </c>
      <c r="C9" s="8" t="inlineStr">
        <is>
          <t>Viernes · Llegada</t>
        </is>
      </c>
      <c r="D9" s="8">
        <f>COUNTIFS(Viajes!$A$2:$A$26,B9,Viajes!$E$2:$E$26,"Uber*")</f>
        <v/>
      </c>
      <c r="E9" s="9">
        <f>SUMIFS(Viajes!$P$2:$P$26,Viajes!$A$2:$A$26,B9)</f>
        <v/>
      </c>
      <c r="F9" s="9">
        <f>E9/$C$4</f>
        <v/>
      </c>
    </row>
    <row r="10">
      <c r="A10" t="inlineStr"/>
      <c r="B10" s="10" t="n">
        <v>46319</v>
      </c>
      <c r="C10" s="11" t="inlineStr">
        <is>
          <t>Sábado · Libre</t>
        </is>
      </c>
      <c r="D10" s="11">
        <f>COUNTIFS(Viajes!$A$2:$A$26,B10,Viajes!$E$2:$E$26,"Uber*")</f>
        <v/>
      </c>
      <c r="E10" s="12">
        <f>IF(D10=0,$C$6,SUMIFS(Viajes!$P$2:$P$26,Viajes!$A$2:$A$26,B10))</f>
        <v/>
      </c>
      <c r="F10" s="12">
        <f>E10/$C$4</f>
        <v/>
      </c>
    </row>
    <row r="11">
      <c r="A11" t="inlineStr"/>
      <c r="B11" s="10" t="n">
        <v>46320</v>
      </c>
      <c r="C11" s="11" t="inlineStr">
        <is>
          <t>Domingo · Libre</t>
        </is>
      </c>
      <c r="D11" s="11">
        <f>COUNTIFS(Viajes!$A$2:$A$26,B11,Viajes!$E$2:$E$26,"Uber*")</f>
        <v/>
      </c>
      <c r="E11" s="12">
        <f>IF(D11=0,$C$6,SUMIFS(Viajes!$P$2:$P$26,Viajes!$A$2:$A$26,B11))</f>
        <v/>
      </c>
      <c r="F11" s="12">
        <f>E11/$C$4</f>
        <v/>
      </c>
    </row>
    <row r="12">
      <c r="A12" t="inlineStr"/>
      <c r="B12" s="7" t="n">
        <v>46321</v>
      </c>
      <c r="C12" s="8" t="inlineStr">
        <is>
          <t>Lunes · Día 1</t>
        </is>
      </c>
      <c r="D12" s="8">
        <f>COUNTIFS(Viajes!$A$2:$A$26,B12,Viajes!$E$2:$E$26,"Uber*")</f>
        <v/>
      </c>
      <c r="E12" s="9">
        <f>SUMIFS(Viajes!$P$2:$P$26,Viajes!$A$2:$A$26,B12)</f>
        <v/>
      </c>
      <c r="F12" s="9">
        <f>E12/$C$4</f>
        <v/>
      </c>
    </row>
    <row r="13">
      <c r="A13" t="inlineStr"/>
      <c r="B13" s="7" t="n">
        <v>46322</v>
      </c>
      <c r="C13" s="8" t="inlineStr">
        <is>
          <t>Martes · Día 2</t>
        </is>
      </c>
      <c r="D13" s="8">
        <f>COUNTIFS(Viajes!$A$2:$A$26,B13,Viajes!$E$2:$E$26,"Uber*")</f>
        <v/>
      </c>
      <c r="E13" s="9">
        <f>SUMIFS(Viajes!$P$2:$P$26,Viajes!$A$2:$A$26,B13)</f>
        <v/>
      </c>
      <c r="F13" s="9">
        <f>E13/$C$4</f>
        <v/>
      </c>
    </row>
    <row r="14">
      <c r="A14" t="inlineStr"/>
      <c r="B14" s="7" t="n">
        <v>46323</v>
      </c>
      <c r="C14" s="8" t="inlineStr">
        <is>
          <t>Miércoles · Día 3</t>
        </is>
      </c>
      <c r="D14" s="8">
        <f>COUNTIFS(Viajes!$A$2:$A$26,B14,Viajes!$E$2:$E$26,"Uber*")</f>
        <v/>
      </c>
      <c r="E14" s="9">
        <f>SUMIFS(Viajes!$P$2:$P$26,Viajes!$A$2:$A$26,B14)</f>
        <v/>
      </c>
      <c r="F14" s="9">
        <f>E14/$C$4</f>
        <v/>
      </c>
    </row>
    <row r="15">
      <c r="A15" t="inlineStr"/>
      <c r="B15" s="7" t="n">
        <v>46324</v>
      </c>
      <c r="C15" s="8" t="inlineStr">
        <is>
          <t>Jueves · Día 4</t>
        </is>
      </c>
      <c r="D15" s="8">
        <f>COUNTIFS(Viajes!$A$2:$A$26,B15,Viajes!$E$2:$E$26,"Uber*")</f>
        <v/>
      </c>
      <c r="E15" s="9">
        <f>SUMIFS(Viajes!$P$2:$P$26,Viajes!$A$2:$A$26,B15)</f>
        <v/>
      </c>
      <c r="F15" s="9">
        <f>E15/$C$4</f>
        <v/>
      </c>
    </row>
    <row r="16">
      <c r="A16" t="inlineStr"/>
      <c r="B16" s="7" t="n">
        <v>46325</v>
      </c>
      <c r="C16" s="8" t="inlineStr">
        <is>
          <t>Viernes · Día 5</t>
        </is>
      </c>
      <c r="D16" s="8">
        <f>COUNTIFS(Viajes!$A$2:$A$26,B16,Viajes!$E$2:$E$26,"Uber*")</f>
        <v/>
      </c>
      <c r="E16" s="9">
        <f>SUMIFS(Viajes!$P$2:$P$26,Viajes!$A$2:$A$26,B16)</f>
        <v/>
      </c>
      <c r="F16" s="9">
        <f>E16/$C$4</f>
        <v/>
      </c>
    </row>
    <row r="17">
      <c r="A17" t="inlineStr"/>
      <c r="B17" s="7" t="n">
        <v>46326</v>
      </c>
      <c r="C17" s="8" t="inlineStr">
        <is>
          <t>Sábado · Día 6</t>
        </is>
      </c>
      <c r="D17" s="8">
        <f>COUNTIFS(Viajes!$A$2:$A$26,B17,Viajes!$E$2:$E$26,"Uber*")</f>
        <v/>
      </c>
      <c r="E17" s="9">
        <f>SUMIFS(Viajes!$P$2:$P$26,Viajes!$A$2:$A$26,B17)</f>
        <v/>
      </c>
      <c r="F17" s="9">
        <f>E17/$C$4</f>
        <v/>
      </c>
    </row>
    <row r="18">
      <c r="A18" t="inlineStr"/>
      <c r="B18" s="10" t="n">
        <v>46327</v>
      </c>
      <c r="C18" s="11" t="inlineStr">
        <is>
          <t>Domingo · Libre</t>
        </is>
      </c>
      <c r="D18" s="11">
        <f>COUNTIFS(Viajes!$A$2:$A$26,B18,Viajes!$E$2:$E$26,"Uber*")</f>
        <v/>
      </c>
      <c r="E18" s="12">
        <f>IF(D18=0,$C$6,SUMIFS(Viajes!$P$2:$P$26,Viajes!$A$2:$A$26,B18))</f>
        <v/>
      </c>
      <c r="F18" s="12">
        <f>E18/$C$4</f>
        <v/>
      </c>
    </row>
    <row r="19">
      <c r="A19" t="inlineStr"/>
      <c r="B19" s="10" t="n">
        <v>46328</v>
      </c>
      <c r="C19" s="11" t="inlineStr">
        <is>
          <t>Lunes · Libre</t>
        </is>
      </c>
      <c r="D19" s="11">
        <f>COUNTIFS(Viajes!$A$2:$A$26,B19,Viajes!$E$2:$E$26,"Uber*")</f>
        <v/>
      </c>
      <c r="E19" s="12">
        <f>IF(D19=0,$C$6,SUMIFS(Viajes!$P$2:$P$26,Viajes!$A$2:$A$26,B19))</f>
        <v/>
      </c>
      <c r="F19" s="12">
        <f>E19/$C$4</f>
        <v/>
      </c>
    </row>
    <row r="20">
      <c r="A20" t="inlineStr"/>
      <c r="B20" s="10" t="n">
        <v>46329</v>
      </c>
      <c r="C20" s="11" t="inlineStr">
        <is>
          <t>Martes · Libre</t>
        </is>
      </c>
      <c r="D20" s="11">
        <f>COUNTIFS(Viajes!$A$2:$A$26,B20,Viajes!$E$2:$E$26,"Uber*")</f>
        <v/>
      </c>
      <c r="E20" s="12">
        <f>IF(D20=0,$C$6,SUMIFS(Viajes!$P$2:$P$26,Viajes!$A$2:$A$26,B20))</f>
        <v/>
      </c>
      <c r="F20" s="12">
        <f>E20/$C$4</f>
        <v/>
      </c>
    </row>
    <row r="21">
      <c r="A21" t="inlineStr"/>
      <c r="B21" s="10" t="n">
        <v>46330</v>
      </c>
      <c r="C21" s="11" t="inlineStr">
        <is>
          <t>Miércoles · Libre</t>
        </is>
      </c>
      <c r="D21" s="11">
        <f>COUNTIFS(Viajes!$A$2:$A$26,B21,Viajes!$E$2:$E$26,"Uber*")</f>
        <v/>
      </c>
      <c r="E21" s="12">
        <f>IF(D21=0,$C$6,SUMIFS(Viajes!$P$2:$P$26,Viajes!$A$2:$A$26,B21))</f>
        <v/>
      </c>
      <c r="F21" s="12">
        <f>E21/$C$4</f>
        <v/>
      </c>
    </row>
    <row r="22">
      <c r="A22" t="inlineStr"/>
      <c r="B22" s="7" t="n">
        <v>46331</v>
      </c>
      <c r="C22" s="8" t="inlineStr">
        <is>
          <t>Jueves · Vuelta</t>
        </is>
      </c>
      <c r="D22" s="8">
        <f>COUNTIFS(Viajes!$A$2:$A$26,B22,Viajes!$E$2:$E$26,"Uber*")</f>
        <v/>
      </c>
      <c r="E22" s="9">
        <f>SUMIFS(Viajes!$P$2:$P$26,Viajes!$A$2:$A$26,B22)</f>
        <v/>
      </c>
      <c r="F22" s="9">
        <f>E22/$C$4</f>
        <v/>
      </c>
    </row>
    <row r="23">
      <c r="B23" s="13" t="n"/>
      <c r="C23" s="13" t="inlineStr">
        <is>
          <t>Total del viaje</t>
        </is>
      </c>
      <c r="D23" s="13">
        <f>SUM(D9:D22)</f>
        <v/>
      </c>
      <c r="E23" s="14">
        <f>SUM(E9:E22)</f>
        <v/>
      </c>
      <c r="F23" s="14">
        <f>E23/$C$4</f>
        <v/>
      </c>
    </row>
    <row r="24">
      <c r="C24" t="inlineStr">
        <is>
          <t>Promedio por día de agenda</t>
        </is>
      </c>
      <c r="E24" s="15">
        <f>AVERAGE(E12:E17)</f>
        <v/>
      </c>
      <c r="F24" s="15">
        <f>E24/$C$4</f>
        <v/>
      </c>
    </row>
    <row r="25">
      <c r="C25" t="inlineStr">
        <is>
          <t>Promedio por día en LA (sin Disney)</t>
        </is>
      </c>
      <c r="E25" s="15">
        <f>AVERAGE(E12,E13,E14,E16)</f>
        <v/>
      </c>
      <c r="F25" s="15">
        <f>E25/$C$4</f>
        <v/>
      </c>
    </row>
    <row r="27">
      <c r="B27" s="3" t="inlineStr">
        <is>
          <t>Precios de UberXL estimados con los promedios que publica Uber para LA; los tramos con "Falta dirección" son provisorios (13 km aprox.). Sin propina.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26" customWidth="1" min="4" max="4"/>
    <col width="13" customWidth="1" min="5" max="5"/>
    <col width="11" customWidth="1" min="6" max="6"/>
    <col width="8" customWidth="1" min="7" max="7"/>
    <col width="8" customWidth="1" min="8" max="8"/>
    <col width="40" customWidth="1" min="9" max="9"/>
    <col width="9" customWidth="1" min="10" max="10"/>
    <col width="7" customWidth="1" min="11" max="11"/>
    <col width="9" customWidth="1" min="12" max="12"/>
    <col width="13" customWidth="1" min="13" max="13"/>
    <col width="15" customWidth="1" min="14" max="14"/>
    <col width="15" customWidth="1" min="15" max="15"/>
    <col width="12" customWidth="1" min="16" max="16"/>
    <col width="15" customWidth="1" min="17" max="17"/>
    <col width="16" customWidth="1" min="18" max="18"/>
  </cols>
  <sheetData>
    <row r="1" ht="30" customHeight="1">
      <c r="A1" s="16" t="inlineStr">
        <is>
          <t>Fecha</t>
        </is>
      </c>
      <c r="B1" s="16" t="inlineStr">
        <is>
          <t>Día</t>
        </is>
      </c>
      <c r="C1" s="16" t="inlineStr">
        <is>
          <t>Desde</t>
        </is>
      </c>
      <c r="D1" s="16" t="inlineStr">
        <is>
          <t>Hasta</t>
        </is>
      </c>
      <c r="E1" s="16" t="inlineStr">
        <is>
          <t>Cómo</t>
        </is>
      </c>
      <c r="F1" s="16" t="inlineStr">
        <is>
          <t>Pedir Uber</t>
        </is>
      </c>
      <c r="G1" s="16" t="inlineStr">
        <is>
          <t>Salen</t>
        </is>
      </c>
      <c r="H1" s="16" t="inlineStr">
        <is>
          <t>Llegan</t>
        </is>
      </c>
      <c r="I1" s="16" t="inlineStr">
        <is>
          <t>Actividad</t>
        </is>
      </c>
      <c r="J1" s="16" t="inlineStr">
        <is>
          <t>Empieza</t>
        </is>
      </c>
      <c r="K1" s="16" t="inlineStr">
        <is>
          <t>km</t>
        </is>
      </c>
      <c r="L1" s="16" t="inlineStr">
        <is>
          <t>Minutos</t>
        </is>
      </c>
      <c r="M1" s="16" t="inlineStr">
        <is>
          <t>Estimado USD</t>
        </is>
      </c>
      <c r="N1" s="16" t="inlineStr">
        <is>
          <t>Con colchón USD</t>
        </is>
      </c>
      <c r="O1" s="16" t="inlineStr">
        <is>
          <t>Precio real USD</t>
        </is>
      </c>
      <c r="P1" s="16" t="inlineStr">
        <is>
          <t>A usar USD</t>
        </is>
      </c>
      <c r="Q1" s="16" t="inlineStr">
        <is>
          <t>Por persona USD</t>
        </is>
      </c>
      <c r="R1" s="16" t="inlineStr">
        <is>
          <t>Aviso</t>
        </is>
      </c>
    </row>
    <row r="2">
      <c r="A2" s="17" t="n">
        <v>46318</v>
      </c>
      <c r="B2" s="8" t="inlineStr">
        <is>
          <t>Viernes · Llegada</t>
        </is>
      </c>
      <c r="C2" s="8" t="inlineStr">
        <is>
          <t>LAX · Aeropuerto</t>
        </is>
      </c>
      <c r="D2" s="8" t="inlineStr">
        <is>
          <t>Casa · Airbnb</t>
        </is>
      </c>
      <c r="E2" s="8" t="inlineStr">
        <is>
          <t>UberXXL</t>
        </is>
      </c>
      <c r="F2" s="18" t="n">
        <v>0.625</v>
      </c>
      <c r="G2" s="19" t="n">
        <v>0.6298611111111111</v>
      </c>
      <c r="H2" s="19" t="n">
        <v>0.6645833333333333</v>
      </c>
      <c r="I2" s="8" t="inlineStr">
        <is>
          <t>Vuelta</t>
        </is>
      </c>
      <c r="J2" s="19" t="n"/>
      <c r="K2" s="20" t="n">
        <v>21.9</v>
      </c>
      <c r="L2" s="8" t="n">
        <v>50</v>
      </c>
      <c r="M2" s="9" t="n">
        <v>100.87</v>
      </c>
      <c r="N2" s="9">
        <f>IF(LEFT(E2,4)="Uber",M2*(1+Resumen!$C$5),0)</f>
        <v/>
      </c>
      <c r="O2" s="21" t="n"/>
      <c r="P2" s="9">
        <f>IF(O2&lt;&gt;"",O2,N2)</f>
        <v/>
      </c>
      <c r="Q2" s="9">
        <f>P2/Resumen!$C$4</f>
        <v/>
      </c>
      <c r="R2" s="8" t="inlineStr"/>
    </row>
    <row r="3">
      <c r="A3" s="17" t="n">
        <v>46321</v>
      </c>
      <c r="B3" s="8" t="inlineStr">
        <is>
          <t>Lunes · Día 1</t>
        </is>
      </c>
      <c r="C3" s="8" t="inlineStr">
        <is>
          <t>Casa · Airbnb</t>
        </is>
      </c>
      <c r="D3" s="8" t="inlineStr">
        <is>
          <t>Warner Bros. Studio Tour</t>
        </is>
      </c>
      <c r="E3" s="8" t="inlineStr">
        <is>
          <t>UberXL</t>
        </is>
      </c>
      <c r="F3" s="18" t="n">
        <v>0.3597222222222222</v>
      </c>
      <c r="G3" s="19" t="n">
        <v>0.3645833333333333</v>
      </c>
      <c r="H3" s="19" t="n">
        <v>0.3819444444444444</v>
      </c>
      <c r="I3" s="8" t="inlineStr">
        <is>
          <t>Warner Bros Studio Tour VIP</t>
        </is>
      </c>
      <c r="J3" s="19" t="n">
        <v>0.3958333333333333</v>
      </c>
      <c r="K3" s="20" t="n">
        <v>9.199999999999999</v>
      </c>
      <c r="L3" s="8" t="n">
        <v>25</v>
      </c>
      <c r="M3" s="9" t="n">
        <v>43.46</v>
      </c>
      <c r="N3" s="9">
        <f>IF(LEFT(E3,4)="Uber",M3*(1+Resumen!$C$5),0)</f>
        <v/>
      </c>
      <c r="O3" s="21" t="n"/>
      <c r="P3" s="9">
        <f>IF(O3&lt;&gt;"",O3,N3)</f>
        <v/>
      </c>
      <c r="Q3" s="9">
        <f>P3/Resumen!$C$4</f>
        <v/>
      </c>
      <c r="R3" s="8" t="inlineStr"/>
    </row>
    <row r="4">
      <c r="A4" s="17" t="n">
        <v>46321</v>
      </c>
      <c r="B4" s="8" t="inlineStr">
        <is>
          <t>Lunes · Día 1</t>
        </is>
      </c>
      <c r="C4" s="8" t="inlineStr">
        <is>
          <t>Warner Bros. Studio Tour</t>
        </is>
      </c>
      <c r="D4" s="8" t="inlineStr">
        <is>
          <t>Grammy Museum</t>
        </is>
      </c>
      <c r="E4" s="8" t="inlineStr">
        <is>
          <t>UberXL</t>
        </is>
      </c>
      <c r="F4" s="18" t="n">
        <v>0.5791666666666667</v>
      </c>
      <c r="G4" s="19" t="n">
        <v>0.5840277777777778</v>
      </c>
      <c r="H4" s="19" t="n">
        <v>0.6111111111111112</v>
      </c>
      <c r="I4" s="8" t="inlineStr">
        <is>
          <t>Grammy Museum</t>
        </is>
      </c>
      <c r="J4" s="19" t="n">
        <v>0.625</v>
      </c>
      <c r="K4" s="20" t="n">
        <v>21</v>
      </c>
      <c r="L4" s="8" t="n">
        <v>39</v>
      </c>
      <c r="M4" s="9" t="n">
        <v>71.31999999999999</v>
      </c>
      <c r="N4" s="9">
        <f>IF(LEFT(E4,4)="Uber",M4*(1+Resumen!$C$5),0)</f>
        <v/>
      </c>
      <c r="O4" s="21" t="n"/>
      <c r="P4" s="9">
        <f>IF(O4&lt;&gt;"",O4,N4)</f>
        <v/>
      </c>
      <c r="Q4" s="9">
        <f>P4/Resumen!$C$4</f>
        <v/>
      </c>
      <c r="R4" s="8" t="inlineStr"/>
    </row>
    <row r="5">
      <c r="A5" s="17" t="n">
        <v>46321</v>
      </c>
      <c r="B5" s="8" t="inlineStr">
        <is>
          <t>Lunes · Día 1</t>
        </is>
      </c>
      <c r="C5" s="8" t="inlineStr">
        <is>
          <t>Grammy Museum</t>
        </is>
      </c>
      <c r="D5" s="8" t="inlineStr">
        <is>
          <t>Chinatown · Central Plaza</t>
        </is>
      </c>
      <c r="E5" s="8" t="inlineStr">
        <is>
          <t>Con el grupo</t>
        </is>
      </c>
      <c r="F5" s="18" t="n"/>
      <c r="G5" s="19" t="n">
        <v>0.6784722222222223</v>
      </c>
      <c r="H5" s="19" t="n">
        <v>0.6875</v>
      </c>
      <c r="I5" s="8" t="inlineStr">
        <is>
          <t>Recorrido Chinatown</t>
        </is>
      </c>
      <c r="J5" s="19" t="n">
        <v>0.6875</v>
      </c>
      <c r="K5" s="20" t="n">
        <v>4</v>
      </c>
      <c r="L5" s="8" t="n">
        <v>13</v>
      </c>
      <c r="M5" s="9" t="n">
        <v>0</v>
      </c>
      <c r="N5" s="9">
        <f>IF(LEFT(E5,4)="Uber",M5*(1+Resumen!$C$5),0)</f>
        <v/>
      </c>
      <c r="O5" s="21" t="n"/>
      <c r="P5" s="9">
        <f>IF(O5&lt;&gt;"",O5,N5)</f>
        <v/>
      </c>
      <c r="Q5" s="9">
        <f>P5/Resumen!$C$4</f>
        <v/>
      </c>
      <c r="R5" s="8" t="inlineStr"/>
    </row>
    <row r="6">
      <c r="A6" s="17" t="n">
        <v>46321</v>
      </c>
      <c r="B6" s="8" t="inlineStr">
        <is>
          <t>Lunes · Día 1</t>
        </is>
      </c>
      <c r="C6" s="8" t="inlineStr">
        <is>
          <t>Chinatown · Central Plaza</t>
        </is>
      </c>
      <c r="D6" s="8" t="inlineStr">
        <is>
          <t>AMDA College</t>
        </is>
      </c>
      <c r="E6" s="8" t="inlineStr">
        <is>
          <t>UberXL</t>
        </is>
      </c>
      <c r="F6" s="18" t="n">
        <v>0.7104166666666667</v>
      </c>
      <c r="G6" s="19" t="n">
        <v>0.7152777777777778</v>
      </c>
      <c r="H6" s="19" t="n">
        <v>0.7361111111111112</v>
      </c>
      <c r="I6" s="8" t="inlineStr">
        <is>
          <t>Visit to AMDA University + Workshop</t>
        </is>
      </c>
      <c r="J6" s="19" t="n">
        <v>0.75</v>
      </c>
      <c r="K6" s="20" t="n">
        <v>10.5</v>
      </c>
      <c r="L6" s="8" t="n">
        <v>30</v>
      </c>
      <c r="M6" s="9" t="n">
        <v>49.19</v>
      </c>
      <c r="N6" s="9">
        <f>IF(LEFT(E6,4)="Uber",M6*(1+Resumen!$C$5),0)</f>
        <v/>
      </c>
      <c r="O6" s="21" t="n"/>
      <c r="P6" s="9">
        <f>IF(O6&lt;&gt;"",O6,N6)</f>
        <v/>
      </c>
      <c r="Q6" s="9">
        <f>P6/Resumen!$C$4</f>
        <v/>
      </c>
      <c r="R6" s="8" t="inlineStr"/>
    </row>
    <row r="7">
      <c r="A7" s="17" t="n">
        <v>46321</v>
      </c>
      <c r="B7" s="8" t="inlineStr">
        <is>
          <t>Lunes · Día 1</t>
        </is>
      </c>
      <c r="C7" s="8" t="inlineStr">
        <is>
          <t>AMDA College</t>
        </is>
      </c>
      <c r="D7" s="8" t="inlineStr">
        <is>
          <t>Casa · Airbnb</t>
        </is>
      </c>
      <c r="E7" s="8" t="inlineStr">
        <is>
          <t>UberXL</t>
        </is>
      </c>
      <c r="F7" s="18" t="n">
        <v>0.8541666666666666</v>
      </c>
      <c r="G7" s="19" t="n">
        <v>0.8590277777777777</v>
      </c>
      <c r="H7" s="19" t="n">
        <v>0.8645833333333334</v>
      </c>
      <c r="I7" s="8" t="inlineStr">
        <is>
          <t>Vuelta</t>
        </is>
      </c>
      <c r="J7" s="19" t="n"/>
      <c r="K7" s="20" t="n">
        <v>2.2</v>
      </c>
      <c r="L7" s="8" t="n">
        <v>8</v>
      </c>
      <c r="M7" s="9" t="n">
        <v>24</v>
      </c>
      <c r="N7" s="9">
        <f>IF(LEFT(E7,4)="Uber",M7*(1+Resumen!$C$5),0)</f>
        <v/>
      </c>
      <c r="O7" s="21" t="n"/>
      <c r="P7" s="9">
        <f>IF(O7&lt;&gt;"",O7,N7)</f>
        <v/>
      </c>
      <c r="Q7" s="9">
        <f>P7/Resumen!$C$4</f>
        <v/>
      </c>
      <c r="R7" s="8" t="inlineStr"/>
    </row>
    <row r="8">
      <c r="A8" s="17" t="n">
        <v>46322</v>
      </c>
      <c r="B8" s="8" t="inlineStr">
        <is>
          <t>Martes · Día 2</t>
        </is>
      </c>
      <c r="C8" s="8" t="inlineStr">
        <is>
          <t>Casa · Airbnb</t>
        </is>
      </c>
      <c r="D8" s="8" t="inlineStr">
        <is>
          <t>Dolby Theatre · Walk of Fame</t>
        </is>
      </c>
      <c r="E8" s="8" t="inlineStr">
        <is>
          <t>UberXL</t>
        </is>
      </c>
      <c r="F8" s="18" t="n">
        <v>0.3472222222222222</v>
      </c>
      <c r="G8" s="19" t="n">
        <v>0.3520833333333334</v>
      </c>
      <c r="H8" s="19" t="n">
        <v>0.3611111111111111</v>
      </c>
      <c r="I8" s="8" t="inlineStr">
        <is>
          <t>Walk of Fame + Dolby Theatre Studio Tour</t>
        </is>
      </c>
      <c r="J8" s="19" t="n">
        <v>0.375</v>
      </c>
      <c r="K8" s="20" t="n">
        <v>3.4</v>
      </c>
      <c r="L8" s="8" t="n">
        <v>13</v>
      </c>
      <c r="M8" s="9" t="n">
        <v>25.45</v>
      </c>
      <c r="N8" s="9">
        <f>IF(LEFT(E8,4)="Uber",M8*(1+Resumen!$C$5),0)</f>
        <v/>
      </c>
      <c r="O8" s="21" t="n"/>
      <c r="P8" s="9">
        <f>IF(O8&lt;&gt;"",O8,N8)</f>
        <v/>
      </c>
      <c r="Q8" s="9">
        <f>P8/Resumen!$C$4</f>
        <v/>
      </c>
      <c r="R8" s="8" t="inlineStr"/>
    </row>
    <row r="9">
      <c r="A9" s="17" t="n">
        <v>46322</v>
      </c>
      <c r="B9" s="8" t="inlineStr">
        <is>
          <t>Martes · Día 2</t>
        </is>
      </c>
      <c r="C9" s="8" t="inlineStr">
        <is>
          <t>Dolby Theatre · Walk of Fame</t>
        </is>
      </c>
      <c r="D9" s="8" t="inlineStr">
        <is>
          <t>A confirmar</t>
        </is>
      </c>
      <c r="E9" s="8" t="inlineStr">
        <is>
          <t>UberXL</t>
        </is>
      </c>
      <c r="F9" s="18" t="n">
        <v>0.5444444444444444</v>
      </c>
      <c r="G9" s="19" t="n">
        <v>0.5493055555555556</v>
      </c>
      <c r="H9" s="19" t="n">
        <v>0.5694444444444444</v>
      </c>
      <c r="I9" s="8" t="inlineStr">
        <is>
          <t>Workshop con especialista de la industria</t>
        </is>
      </c>
      <c r="J9" s="19" t="n">
        <v>0.5833333333333334</v>
      </c>
      <c r="K9" s="20" t="n">
        <v>12.9</v>
      </c>
      <c r="L9" s="8" t="n">
        <v>29</v>
      </c>
      <c r="M9" s="9" t="n">
        <v>51.83</v>
      </c>
      <c r="N9" s="9">
        <f>IF(LEFT(E9,4)="Uber",M9*(1+Resumen!$C$5),0)</f>
        <v/>
      </c>
      <c r="O9" s="21" t="n"/>
      <c r="P9" s="9">
        <f>IF(O9&lt;&gt;"",O9,N9)</f>
        <v/>
      </c>
      <c r="Q9" s="9">
        <f>P9/Resumen!$C$4</f>
        <v/>
      </c>
      <c r="R9" s="22" t="inlineStr">
        <is>
          <t>Falta dirección</t>
        </is>
      </c>
    </row>
    <row r="10">
      <c r="A10" s="17" t="n">
        <v>46322</v>
      </c>
      <c r="B10" s="8" t="inlineStr">
        <is>
          <t>Martes · Día 2</t>
        </is>
      </c>
      <c r="C10" s="8" t="inlineStr">
        <is>
          <t>A confirmar</t>
        </is>
      </c>
      <c r="D10" s="8" t="inlineStr">
        <is>
          <t>Hollywood Pantages</t>
        </is>
      </c>
      <c r="E10" s="8" t="inlineStr">
        <is>
          <t>UberXL</t>
        </is>
      </c>
      <c r="F10" s="18" t="n">
        <v>0.76875</v>
      </c>
      <c r="G10" s="19" t="n">
        <v>0.7736111111111111</v>
      </c>
      <c r="H10" s="19" t="n">
        <v>0.7986111111111112</v>
      </c>
      <c r="I10" s="8" t="inlineStr">
        <is>
          <t>Broadway on tour · The Who's Tommy</t>
        </is>
      </c>
      <c r="J10" s="19" t="n">
        <v>0.8125</v>
      </c>
      <c r="K10" s="20" t="n">
        <v>12.9</v>
      </c>
      <c r="L10" s="8" t="n">
        <v>36</v>
      </c>
      <c r="M10" s="9" t="n">
        <v>57.88</v>
      </c>
      <c r="N10" s="9">
        <f>IF(LEFT(E10,4)="Uber",M10*(1+Resumen!$C$5),0)</f>
        <v/>
      </c>
      <c r="O10" s="21" t="n"/>
      <c r="P10" s="9">
        <f>IF(O10&lt;&gt;"",O10,N10)</f>
        <v/>
      </c>
      <c r="Q10" s="9">
        <f>P10/Resumen!$C$4</f>
        <v/>
      </c>
      <c r="R10" s="22" t="inlineStr">
        <is>
          <t>Falta dirección</t>
        </is>
      </c>
    </row>
    <row r="11">
      <c r="A11" s="17" t="n">
        <v>46322</v>
      </c>
      <c r="B11" s="8" t="inlineStr">
        <is>
          <t>Martes · Día 2</t>
        </is>
      </c>
      <c r="C11" s="8" t="inlineStr">
        <is>
          <t>Hollywood Pantages</t>
        </is>
      </c>
      <c r="D11" s="8" t="inlineStr">
        <is>
          <t>Casa · Airbnb</t>
        </is>
      </c>
      <c r="E11" s="8" t="inlineStr">
        <is>
          <t>UberXL</t>
        </is>
      </c>
      <c r="F11" s="18" t="n">
        <v>0.9270833333333334</v>
      </c>
      <c r="G11" s="19" t="n">
        <v>0.9319444444444445</v>
      </c>
      <c r="H11" s="19" t="n">
        <v>0.9368055555555556</v>
      </c>
      <c r="I11" s="8" t="inlineStr">
        <is>
          <t>Vuelta</t>
        </is>
      </c>
      <c r="J11" s="19" t="n"/>
      <c r="K11" s="20" t="n">
        <v>1.9</v>
      </c>
      <c r="L11" s="8" t="n">
        <v>7</v>
      </c>
      <c r="M11" s="9" t="n">
        <v>24</v>
      </c>
      <c r="N11" s="9">
        <f>IF(LEFT(E11,4)="Uber",M11*(1+Resumen!$C$5),0)</f>
        <v/>
      </c>
      <c r="O11" s="21" t="n"/>
      <c r="P11" s="9">
        <f>IF(O11&lt;&gt;"",O11,N11)</f>
        <v/>
      </c>
      <c r="Q11" s="9">
        <f>P11/Resumen!$C$4</f>
        <v/>
      </c>
      <c r="R11" s="8" t="inlineStr"/>
    </row>
    <row r="12">
      <c r="A12" s="17" t="n">
        <v>46323</v>
      </c>
      <c r="B12" s="8" t="inlineStr">
        <is>
          <t>Miércoles · Día 3</t>
        </is>
      </c>
      <c r="C12" s="8" t="inlineStr">
        <is>
          <t>Casa · Airbnb</t>
        </is>
      </c>
      <c r="D12" s="8" t="inlineStr">
        <is>
          <t>Universal Studios Hollywood</t>
        </is>
      </c>
      <c r="E12" s="8" t="inlineStr">
        <is>
          <t>UberXL</t>
        </is>
      </c>
      <c r="F12" s="18" t="n">
        <v>0.2597222222222222</v>
      </c>
      <c r="G12" s="19" t="n">
        <v>0.2645833333333333</v>
      </c>
      <c r="H12" s="19" t="n">
        <v>0.2777777777777778</v>
      </c>
      <c r="I12" s="8" t="inlineStr">
        <is>
          <t>Universal Studios + Studio Tour + CityWalk</t>
        </is>
      </c>
      <c r="J12" s="19" t="n">
        <v>0.2916666666666667</v>
      </c>
      <c r="K12" s="20" t="n">
        <v>8.800000000000001</v>
      </c>
      <c r="L12" s="8" t="n">
        <v>19</v>
      </c>
      <c r="M12" s="9" t="n">
        <v>38.05</v>
      </c>
      <c r="N12" s="9">
        <f>IF(LEFT(E12,4)="Uber",M12*(1+Resumen!$C$5),0)</f>
        <v/>
      </c>
      <c r="O12" s="21" t="n"/>
      <c r="P12" s="9">
        <f>IF(O12&lt;&gt;"",O12,N12)</f>
        <v/>
      </c>
      <c r="Q12" s="9">
        <f>P12/Resumen!$C$4</f>
        <v/>
      </c>
      <c r="R12" s="8" t="inlineStr"/>
    </row>
    <row r="13">
      <c r="A13" s="17" t="n">
        <v>46323</v>
      </c>
      <c r="B13" s="8" t="inlineStr">
        <is>
          <t>Miércoles · Día 3</t>
        </is>
      </c>
      <c r="C13" s="8" t="inlineStr">
        <is>
          <t>Universal Studios Hollywood</t>
        </is>
      </c>
      <c r="D13" s="8" t="inlineStr">
        <is>
          <t>Intuit Dome · Clippers</t>
        </is>
      </c>
      <c r="E13" s="8" t="inlineStr">
        <is>
          <t>UberXL</t>
        </is>
      </c>
      <c r="F13" s="18" t="n">
        <v>0.7083333333333334</v>
      </c>
      <c r="G13" s="19" t="n">
        <v>0.7131944444444445</v>
      </c>
      <c r="H13" s="19" t="n">
        <v>0.7569444444444444</v>
      </c>
      <c r="I13" s="8" t="inlineStr">
        <is>
          <t>NBA · Clippers vs. Lakers</t>
        </is>
      </c>
      <c r="J13" s="19" t="n">
        <v>0.7708333333333334</v>
      </c>
      <c r="K13" s="20" t="n">
        <v>35.4</v>
      </c>
      <c r="L13" s="8" t="n">
        <v>63</v>
      </c>
      <c r="M13" s="9" t="n">
        <v>114.84</v>
      </c>
      <c r="N13" s="9">
        <f>IF(LEFT(E13,4)="Uber",M13*(1+Resumen!$C$5),0)</f>
        <v/>
      </c>
      <c r="O13" s="21" t="n"/>
      <c r="P13" s="9">
        <f>IF(O13&lt;&gt;"",O13,N13)</f>
        <v/>
      </c>
      <c r="Q13" s="9">
        <f>P13/Resumen!$C$4</f>
        <v/>
      </c>
      <c r="R13" s="8" t="inlineStr"/>
    </row>
    <row r="14">
      <c r="A14" s="17" t="n">
        <v>46323</v>
      </c>
      <c r="B14" s="8" t="inlineStr">
        <is>
          <t>Miércoles · Día 3</t>
        </is>
      </c>
      <c r="C14" s="8" t="inlineStr">
        <is>
          <t>Intuit Dome · Clippers</t>
        </is>
      </c>
      <c r="D14" s="8" t="inlineStr">
        <is>
          <t>Casa · Airbnb</t>
        </is>
      </c>
      <c r="E14" s="8" t="inlineStr">
        <is>
          <t>UberXL</t>
        </is>
      </c>
      <c r="F14" s="18" t="n">
        <v>0.9166666666666666</v>
      </c>
      <c r="G14" s="19" t="n">
        <v>0.9215277777777777</v>
      </c>
      <c r="H14" s="19" t="n">
        <v>0.9423611111111111</v>
      </c>
      <c r="I14" s="8" t="inlineStr">
        <is>
          <t>Vuelta</t>
        </is>
      </c>
      <c r="J14" s="19" t="n"/>
      <c r="K14" s="20" t="n">
        <v>19</v>
      </c>
      <c r="L14" s="8" t="n">
        <v>30</v>
      </c>
      <c r="M14" s="9" t="n">
        <v>61.07</v>
      </c>
      <c r="N14" s="9">
        <f>IF(LEFT(E14,4)="Uber",M14*(1+Resumen!$C$5),0)</f>
        <v/>
      </c>
      <c r="O14" s="21" t="n"/>
      <c r="P14" s="9">
        <f>IF(O14&lt;&gt;"",O14,N14)</f>
        <v/>
      </c>
      <c r="Q14" s="9">
        <f>P14/Resumen!$C$4</f>
        <v/>
      </c>
      <c r="R14" s="8" t="inlineStr"/>
    </row>
    <row r="15">
      <c r="A15" s="17" t="n">
        <v>46324</v>
      </c>
      <c r="B15" s="8" t="inlineStr">
        <is>
          <t>Jueves · Día 4</t>
        </is>
      </c>
      <c r="C15" s="8" t="inlineStr">
        <is>
          <t>Casa · Airbnb</t>
        </is>
      </c>
      <c r="D15" s="8" t="inlineStr">
        <is>
          <t>Disneyland Resort</t>
        </is>
      </c>
      <c r="E15" s="8" t="inlineStr">
        <is>
          <t>UberXL</t>
        </is>
      </c>
      <c r="F15" s="18" t="n">
        <v>0.2541666666666667</v>
      </c>
      <c r="G15" s="19" t="n">
        <v>0.2590277777777778</v>
      </c>
      <c r="H15" s="19" t="n">
        <v>0.2986111111111111</v>
      </c>
      <c r="I15" s="8" t="inlineStr">
        <is>
          <t>Technology of Disney Parks Workshop</t>
        </is>
      </c>
      <c r="J15" s="19" t="n">
        <v>0.3125</v>
      </c>
      <c r="K15" s="20" t="n">
        <v>52.5</v>
      </c>
      <c r="L15" s="8" t="n">
        <v>57</v>
      </c>
      <c r="M15" s="9" t="n">
        <v>129.15</v>
      </c>
      <c r="N15" s="9">
        <f>IF(LEFT(E15,4)="Uber",M15*(1+Resumen!$C$5),0)</f>
        <v/>
      </c>
      <c r="O15" s="21" t="n"/>
      <c r="P15" s="9">
        <f>IF(O15&lt;&gt;"",O15,N15)</f>
        <v/>
      </c>
      <c r="Q15" s="9">
        <f>P15/Resumen!$C$4</f>
        <v/>
      </c>
      <c r="R15" s="8" t="inlineStr"/>
    </row>
    <row r="16">
      <c r="A16" s="17" t="n">
        <v>46324</v>
      </c>
      <c r="B16" s="8" t="inlineStr">
        <is>
          <t>Jueves · Día 4</t>
        </is>
      </c>
      <c r="C16" s="8" t="inlineStr">
        <is>
          <t>Disneyland Resort</t>
        </is>
      </c>
      <c r="D16" s="8" t="inlineStr">
        <is>
          <t>A confirmar</t>
        </is>
      </c>
      <c r="E16" s="8" t="inlineStr">
        <is>
          <t>UberXL</t>
        </is>
      </c>
      <c r="F16" s="18" t="n">
        <v>0.6229166666666667</v>
      </c>
      <c r="G16" s="19" t="n">
        <v>0.6277777777777778</v>
      </c>
      <c r="H16" s="19" t="n">
        <v>0.6527777777777778</v>
      </c>
      <c r="I16" s="8" t="inlineStr">
        <is>
          <t>Workshop con especialistas de Amazon Prime y otras plataformas</t>
        </is>
      </c>
      <c r="J16" s="19" t="n">
        <v>0.6666666666666666</v>
      </c>
      <c r="K16" s="20" t="n">
        <v>12.9</v>
      </c>
      <c r="L16" s="8" t="n">
        <v>36</v>
      </c>
      <c r="M16" s="9" t="n">
        <v>57.88</v>
      </c>
      <c r="N16" s="9">
        <f>IF(LEFT(E16,4)="Uber",M16*(1+Resumen!$C$5),0)</f>
        <v/>
      </c>
      <c r="O16" s="21" t="n"/>
      <c r="P16" s="9">
        <f>IF(O16&lt;&gt;"",O16,N16)</f>
        <v/>
      </c>
      <c r="Q16" s="9">
        <f>P16/Resumen!$C$4</f>
        <v/>
      </c>
      <c r="R16" s="22" t="inlineStr">
        <is>
          <t>Falta dirección</t>
        </is>
      </c>
    </row>
    <row r="17">
      <c r="A17" s="17" t="n">
        <v>46324</v>
      </c>
      <c r="B17" s="8" t="inlineStr">
        <is>
          <t>Jueves · Día 4</t>
        </is>
      </c>
      <c r="C17" s="8" t="inlineStr">
        <is>
          <t>A confirmar</t>
        </is>
      </c>
      <c r="D17" s="8" t="inlineStr">
        <is>
          <t>A confirmar</t>
        </is>
      </c>
      <c r="E17" s="8" t="inlineStr">
        <is>
          <t>UberXL</t>
        </is>
      </c>
      <c r="F17" s="18" t="n">
        <v>0.7895833333333333</v>
      </c>
      <c r="G17" s="19" t="n">
        <v>0.7944444444444444</v>
      </c>
      <c r="H17" s="19" t="n">
        <v>0.8194444444444444</v>
      </c>
      <c r="I17" s="8" t="inlineStr">
        <is>
          <t>Masterclass y posible noche libre</t>
        </is>
      </c>
      <c r="J17" s="19" t="n">
        <v>0.8333333333333334</v>
      </c>
      <c r="K17" s="20" t="n">
        <v>12.9</v>
      </c>
      <c r="L17" s="8" t="n">
        <v>36</v>
      </c>
      <c r="M17" s="9" t="n">
        <v>57.88</v>
      </c>
      <c r="N17" s="9">
        <f>IF(LEFT(E17,4)="Uber",M17*(1+Resumen!$C$5),0)</f>
        <v/>
      </c>
      <c r="O17" s="21" t="n"/>
      <c r="P17" s="9">
        <f>IF(O17&lt;&gt;"",O17,N17)</f>
        <v/>
      </c>
      <c r="Q17" s="9">
        <f>P17/Resumen!$C$4</f>
        <v/>
      </c>
      <c r="R17" s="22" t="inlineStr">
        <is>
          <t>Falta dirección</t>
        </is>
      </c>
    </row>
    <row r="18">
      <c r="A18" s="17" t="n">
        <v>46324</v>
      </c>
      <c r="B18" s="8" t="inlineStr">
        <is>
          <t>Jueves · Día 4</t>
        </is>
      </c>
      <c r="C18" s="8" t="inlineStr">
        <is>
          <t>A confirmar</t>
        </is>
      </c>
      <c r="D18" s="8" t="inlineStr">
        <is>
          <t>Casa · Airbnb</t>
        </is>
      </c>
      <c r="E18" s="8" t="inlineStr">
        <is>
          <t>UberXL</t>
        </is>
      </c>
      <c r="F18" s="18" t="n">
        <v>0.9166666666666666</v>
      </c>
      <c r="G18" s="19" t="n">
        <v>0.9215277777777777</v>
      </c>
      <c r="H18" s="19" t="n">
        <v>0.9381944444444444</v>
      </c>
      <c r="I18" s="8" t="inlineStr">
        <is>
          <t>Vuelta</t>
        </is>
      </c>
      <c r="J18" s="19" t="n"/>
      <c r="K18" s="20" t="n">
        <v>12.9</v>
      </c>
      <c r="L18" s="8" t="n">
        <v>24</v>
      </c>
      <c r="M18" s="9" t="n">
        <v>47.51</v>
      </c>
      <c r="N18" s="9">
        <f>IF(LEFT(E18,4)="Uber",M18*(1+Resumen!$C$5),0)</f>
        <v/>
      </c>
      <c r="O18" s="21" t="n"/>
      <c r="P18" s="9">
        <f>IF(O18&lt;&gt;"",O18,N18)</f>
        <v/>
      </c>
      <c r="Q18" s="9">
        <f>P18/Resumen!$C$4</f>
        <v/>
      </c>
      <c r="R18" s="22" t="inlineStr">
        <is>
          <t>Falta dirección</t>
        </is>
      </c>
    </row>
    <row r="19">
      <c r="A19" s="17" t="n">
        <v>46325</v>
      </c>
      <c r="B19" s="8" t="inlineStr">
        <is>
          <t>Viernes · Día 5</t>
        </is>
      </c>
      <c r="C19" s="8" t="inlineStr">
        <is>
          <t>Casa · Airbnb</t>
        </is>
      </c>
      <c r="D19" s="8" t="inlineStr">
        <is>
          <t>Paramount Pictures</t>
        </is>
      </c>
      <c r="E19" s="8" t="inlineStr">
        <is>
          <t>A pie</t>
        </is>
      </c>
      <c r="F19" s="18" t="n"/>
      <c r="G19" s="19" t="n">
        <v>0.34375</v>
      </c>
      <c r="H19" s="19" t="n">
        <v>0.3506944444444444</v>
      </c>
      <c r="I19" s="8" t="inlineStr">
        <is>
          <t>Paramount Studios VIP Tour</t>
        </is>
      </c>
      <c r="J19" s="19" t="n">
        <v>0.3541666666666667</v>
      </c>
      <c r="K19" s="20" t="n">
        <v>0.7</v>
      </c>
      <c r="L19" s="8" t="n">
        <v>10</v>
      </c>
      <c r="M19" s="9" t="n">
        <v>0</v>
      </c>
      <c r="N19" s="9">
        <f>IF(LEFT(E19,4)="Uber",M19*(1+Resumen!$C$5),0)</f>
        <v/>
      </c>
      <c r="O19" s="21" t="n"/>
      <c r="P19" s="9">
        <f>IF(O19&lt;&gt;"",O19,N19)</f>
        <v/>
      </c>
      <c r="Q19" s="9">
        <f>P19/Resumen!$C$4</f>
        <v/>
      </c>
      <c r="R19" s="8" t="inlineStr"/>
    </row>
    <row r="20">
      <c r="A20" s="17" t="n">
        <v>46325</v>
      </c>
      <c r="B20" s="8" t="inlineStr">
        <is>
          <t>Viernes · Día 5</t>
        </is>
      </c>
      <c r="C20" s="8" t="inlineStr">
        <is>
          <t>Paramount Pictures</t>
        </is>
      </c>
      <c r="D20" s="8" t="inlineStr">
        <is>
          <t>Sony Pictures Studios</t>
        </is>
      </c>
      <c r="E20" s="8" t="inlineStr">
        <is>
          <t>UberXL</t>
        </is>
      </c>
      <c r="F20" s="18" t="n">
        <v>0.5861111111111111</v>
      </c>
      <c r="G20" s="19" t="n">
        <v>0.5909722222222222</v>
      </c>
      <c r="H20" s="19" t="n">
        <v>0.6111111111111112</v>
      </c>
      <c r="I20" s="8" t="inlineStr">
        <is>
          <t>Sony Studio Tour</t>
        </is>
      </c>
      <c r="J20" s="19" t="n">
        <v>0.625</v>
      </c>
      <c r="K20" s="20" t="n">
        <v>12.9</v>
      </c>
      <c r="L20" s="8" t="n">
        <v>29</v>
      </c>
      <c r="M20" s="9" t="n">
        <v>51.87</v>
      </c>
      <c r="N20" s="9">
        <f>IF(LEFT(E20,4)="Uber",M20*(1+Resumen!$C$5),0)</f>
        <v/>
      </c>
      <c r="O20" s="21" t="n"/>
      <c r="P20" s="9">
        <f>IF(O20&lt;&gt;"",O20,N20)</f>
        <v/>
      </c>
      <c r="Q20" s="9">
        <f>P20/Resumen!$C$4</f>
        <v/>
      </c>
      <c r="R20" s="8" t="inlineStr"/>
    </row>
    <row r="21">
      <c r="A21" s="17" t="n">
        <v>46325</v>
      </c>
      <c r="B21" s="8" t="inlineStr">
        <is>
          <t>Viernes · Día 5</t>
        </is>
      </c>
      <c r="C21" s="8" t="inlineStr">
        <is>
          <t>Sony Pictures Studios</t>
        </is>
      </c>
      <c r="D21" s="8" t="inlineStr">
        <is>
          <t>A confirmar</t>
        </is>
      </c>
      <c r="E21" s="8" t="inlineStr">
        <is>
          <t>UberXL</t>
        </is>
      </c>
      <c r="F21" s="18" t="n">
        <v>0.8166666666666667</v>
      </c>
      <c r="G21" s="19" t="n">
        <v>0.8215277777777777</v>
      </c>
      <c r="H21" s="19" t="n">
        <v>0.8402777777777778</v>
      </c>
      <c r="I21" s="8" t="inlineStr">
        <is>
          <t>Cena grupal</t>
        </is>
      </c>
      <c r="J21" s="19" t="n">
        <v>0.8541666666666666</v>
      </c>
      <c r="K21" s="20" t="n">
        <v>12.9</v>
      </c>
      <c r="L21" s="8" t="n">
        <v>27</v>
      </c>
      <c r="M21" s="9" t="n">
        <v>50.1</v>
      </c>
      <c r="N21" s="9">
        <f>IF(LEFT(E21,4)="Uber",M21*(1+Resumen!$C$5),0)</f>
        <v/>
      </c>
      <c r="O21" s="21" t="n"/>
      <c r="P21" s="9">
        <f>IF(O21&lt;&gt;"",O21,N21)</f>
        <v/>
      </c>
      <c r="Q21" s="9">
        <f>P21/Resumen!$C$4</f>
        <v/>
      </c>
      <c r="R21" s="22" t="inlineStr">
        <is>
          <t>Falta dirección</t>
        </is>
      </c>
    </row>
    <row r="22">
      <c r="A22" s="17" t="n">
        <v>46325</v>
      </c>
      <c r="B22" s="8" t="inlineStr">
        <is>
          <t>Viernes · Día 5</t>
        </is>
      </c>
      <c r="C22" s="8" t="inlineStr">
        <is>
          <t>A confirmar</t>
        </is>
      </c>
      <c r="D22" s="8" t="inlineStr">
        <is>
          <t>Casa · Airbnb</t>
        </is>
      </c>
      <c r="E22" s="8" t="inlineStr">
        <is>
          <t>UberXL</t>
        </is>
      </c>
      <c r="F22" s="18" t="n">
        <v>0.9375</v>
      </c>
      <c r="G22" s="19" t="n">
        <v>0.9423611111111111</v>
      </c>
      <c r="H22" s="19" t="n">
        <v>0.9590277777777778</v>
      </c>
      <c r="I22" s="8" t="inlineStr">
        <is>
          <t>Vuelta</t>
        </is>
      </c>
      <c r="J22" s="19" t="n"/>
      <c r="K22" s="20" t="n">
        <v>12.9</v>
      </c>
      <c r="L22" s="8" t="n">
        <v>24</v>
      </c>
      <c r="M22" s="9" t="n">
        <v>47.51</v>
      </c>
      <c r="N22" s="9">
        <f>IF(LEFT(E22,4)="Uber",M22*(1+Resumen!$C$5),0)</f>
        <v/>
      </c>
      <c r="O22" s="21" t="n"/>
      <c r="P22" s="9">
        <f>IF(O22&lt;&gt;"",O22,N22)</f>
        <v/>
      </c>
      <c r="Q22" s="9">
        <f>P22/Resumen!$C$4</f>
        <v/>
      </c>
      <c r="R22" s="22" t="inlineStr">
        <is>
          <t>Falta dirección</t>
        </is>
      </c>
    </row>
    <row r="23">
      <c r="A23" s="17" t="n">
        <v>46326</v>
      </c>
      <c r="B23" s="8" t="inlineStr">
        <is>
          <t>Sábado · Día 6</t>
        </is>
      </c>
      <c r="C23" s="8" t="inlineStr">
        <is>
          <t>Casa · Airbnb</t>
        </is>
      </c>
      <c r="D23" s="8" t="inlineStr">
        <is>
          <t>Disneyland Resort</t>
        </is>
      </c>
      <c r="E23" s="8" t="inlineStr">
        <is>
          <t>UberXL</t>
        </is>
      </c>
      <c r="F23" s="18" t="n">
        <v>0.2583333333333334</v>
      </c>
      <c r="G23" s="19" t="n">
        <v>0.2631944444444445</v>
      </c>
      <c r="H23" s="19" t="n">
        <v>0.2986111111111111</v>
      </c>
      <c r="I23" s="8" t="inlineStr">
        <is>
          <t>Immersive Storytelling Disney Workshop</t>
        </is>
      </c>
      <c r="J23" s="19" t="n">
        <v>0.3125</v>
      </c>
      <c r="K23" s="20" t="n">
        <v>52.5</v>
      </c>
      <c r="L23" s="8" t="n">
        <v>51</v>
      </c>
      <c r="M23" s="9" t="n">
        <v>123.28</v>
      </c>
      <c r="N23" s="9">
        <f>IF(LEFT(E23,4)="Uber",M23*(1+Resumen!$C$5),0)</f>
        <v/>
      </c>
      <c r="O23" s="21" t="n"/>
      <c r="P23" s="9">
        <f>IF(O23&lt;&gt;"",O23,N23)</f>
        <v/>
      </c>
      <c r="Q23" s="9">
        <f>P23/Resumen!$C$4</f>
        <v/>
      </c>
      <c r="R23" s="8" t="inlineStr"/>
    </row>
    <row r="24">
      <c r="A24" s="17" t="n">
        <v>46326</v>
      </c>
      <c r="B24" s="8" t="inlineStr">
        <is>
          <t>Sábado · Día 6</t>
        </is>
      </c>
      <c r="C24" s="8" t="inlineStr">
        <is>
          <t>Disneyland Resort</t>
        </is>
      </c>
      <c r="D24" s="8" t="inlineStr">
        <is>
          <t>Downtown Disney</t>
        </is>
      </c>
      <c r="E24" s="8" t="inlineStr">
        <is>
          <t>A pie</t>
        </is>
      </c>
      <c r="F24" s="18" t="n"/>
      <c r="G24" s="19" t="n">
        <v>0.875</v>
      </c>
      <c r="H24" s="19" t="n">
        <v>0.8805555555555555</v>
      </c>
      <c r="I24" s="8" t="inlineStr">
        <is>
          <t>Downtown Disney</t>
        </is>
      </c>
      <c r="J24" s="19" t="n">
        <v>0.8805555555555555</v>
      </c>
      <c r="K24" s="20" t="n">
        <v>0.6</v>
      </c>
      <c r="L24" s="8" t="n">
        <v>8</v>
      </c>
      <c r="M24" s="9" t="n">
        <v>0</v>
      </c>
      <c r="N24" s="9">
        <f>IF(LEFT(E24,4)="Uber",M24*(1+Resumen!$C$5),0)</f>
        <v/>
      </c>
      <c r="O24" s="21" t="n"/>
      <c r="P24" s="9">
        <f>IF(O24&lt;&gt;"",O24,N24)</f>
        <v/>
      </c>
      <c r="Q24" s="9">
        <f>P24/Resumen!$C$4</f>
        <v/>
      </c>
      <c r="R24" s="8" t="inlineStr"/>
    </row>
    <row r="25">
      <c r="A25" s="17" t="n">
        <v>46326</v>
      </c>
      <c r="B25" s="8" t="inlineStr">
        <is>
          <t>Sábado · Día 6</t>
        </is>
      </c>
      <c r="C25" s="8" t="inlineStr">
        <is>
          <t>Downtown Disney</t>
        </is>
      </c>
      <c r="D25" s="8" t="inlineStr">
        <is>
          <t>Casa · Airbnb</t>
        </is>
      </c>
      <c r="E25" s="8" t="inlineStr">
        <is>
          <t>UberXL</t>
        </is>
      </c>
      <c r="F25" s="18" t="n">
        <v>0.9430555555555555</v>
      </c>
      <c r="G25" s="19" t="n">
        <v>0.9479166666666666</v>
      </c>
      <c r="H25" s="19" t="n">
        <v>0.9881944444444445</v>
      </c>
      <c r="I25" s="8" t="inlineStr">
        <is>
          <t>Vuelta</t>
        </is>
      </c>
      <c r="J25" s="19" t="n"/>
      <c r="K25" s="20" t="n">
        <v>52.2</v>
      </c>
      <c r="L25" s="8" t="n">
        <v>58</v>
      </c>
      <c r="M25" s="9" t="n">
        <v>129.03</v>
      </c>
      <c r="N25" s="9">
        <f>IF(LEFT(E25,4)="Uber",M25*(1+Resumen!$C$5),0)</f>
        <v/>
      </c>
      <c r="O25" s="21" t="n"/>
      <c r="P25" s="9">
        <f>IF(O25&lt;&gt;"",O25,N25)</f>
        <v/>
      </c>
      <c r="Q25" s="9">
        <f>P25/Resumen!$C$4</f>
        <v/>
      </c>
      <c r="R25" s="8" t="inlineStr"/>
    </row>
    <row r="26">
      <c r="A26" s="17" t="n">
        <v>46331</v>
      </c>
      <c r="B26" s="8" t="inlineStr">
        <is>
          <t>Jueves · Vuelta</t>
        </is>
      </c>
      <c r="C26" s="8" t="inlineStr">
        <is>
          <t>Casa · Airbnb</t>
        </is>
      </c>
      <c r="D26" s="8" t="inlineStr">
        <is>
          <t>LAX · Aeropuerto</t>
        </is>
      </c>
      <c r="E26" s="8" t="inlineStr">
        <is>
          <t>UberXXL</t>
        </is>
      </c>
      <c r="F26" s="18" t="n">
        <v>0.4534722222222222</v>
      </c>
      <c r="G26" s="19" t="n">
        <v>0.4583333333333333</v>
      </c>
      <c r="H26" s="19" t="n">
        <v>0.4861111111111111</v>
      </c>
      <c r="I26" s="8" t="inlineStr">
        <is>
          <t>Llegar a LAX (3 h antes del vuelo)</t>
        </is>
      </c>
      <c r="J26" s="19" t="n">
        <v>0.5</v>
      </c>
      <c r="K26" s="20" t="n">
        <v>21.9</v>
      </c>
      <c r="L26" s="8" t="n">
        <v>40</v>
      </c>
      <c r="M26" s="9" t="n">
        <v>90.81</v>
      </c>
      <c r="N26" s="9">
        <f>IF(LEFT(E26,4)="Uber",M26*(1+Resumen!$C$5),0)</f>
        <v/>
      </c>
      <c r="O26" s="21" t="n"/>
      <c r="P26" s="9">
        <f>IF(O26&lt;&gt;"",O26,N26)</f>
        <v/>
      </c>
      <c r="Q26" s="9">
        <f>P26/Resumen!$C$4</f>
        <v/>
      </c>
      <c r="R26" s="8" t="inlineStr"/>
    </row>
  </sheetData>
  <autoFilter ref="A1:R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2026-10-11T21:59:00Z</dcterms:created>
  <dcterms:modified xmlns:dcterms="http://purl.org/dc/terms/" xmlns:xsi="http://www.w3.org/2001/XMLSchema-instance" xsi:type="dcterms:W3CDTF">2026-10-11T21:59:00Z</dcterms:modified>
  <cp:lastModifiedBy/>
</cp:coreProperties>
</file>